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ribreuer/Programmieren/Python/AP3/BUB/data/"/>
    </mc:Choice>
  </mc:AlternateContent>
  <xr:revisionPtr revIDLastSave="0" documentId="13_ncr:1_{89AD63B5-4C33-9940-B606-C04D7B35485E}" xr6:coauthVersionLast="47" xr6:coauthVersionMax="47" xr10:uidLastSave="{00000000-0000-0000-0000-000000000000}"/>
  <bookViews>
    <workbookView xWindow="0" yWindow="660" windowWidth="30240" windowHeight="17380" activeTab="2" xr2:uid="{1A2D1E92-35F4-6F47-B68E-970C94C6DF07}"/>
  </bookViews>
  <sheets>
    <sheet name="Versuch 1" sheetId="2" r:id="rId1"/>
    <sheet name="Versuch 2" sheetId="4" r:id="rId2"/>
    <sheet name="Versuch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3" l="1"/>
  <c r="E20" i="3"/>
  <c r="E19" i="3"/>
  <c r="F19" i="3" s="1"/>
  <c r="E18" i="3"/>
  <c r="F18" i="3" s="1"/>
  <c r="E17" i="3"/>
  <c r="F17" i="3" s="1"/>
  <c r="E13" i="3"/>
  <c r="F13" i="3" s="1"/>
  <c r="E12" i="3"/>
  <c r="F12" i="3" s="1"/>
  <c r="E11" i="3"/>
  <c r="F11" i="3"/>
</calcChain>
</file>

<file path=xl/sharedStrings.xml><?xml version="1.0" encoding="utf-8"?>
<sst xmlns="http://schemas.openxmlformats.org/spreadsheetml/2006/main" count="79" uniqueCount="63">
  <si>
    <t>Ordnung</t>
  </si>
  <si>
    <t>Messungenauigkeit abstand +/-1mm</t>
  </si>
  <si>
    <t>Messungenauigkeit ordnung +/-0,5mm</t>
  </si>
  <si>
    <t>Richten Sie nun das Fernrohr mit Hilfe des eingebauten Fadenkreuzes exakt auf die Reflexion des</t>
  </si>
  <si>
    <t>Lichts aus dem Spalt aus und lesen Sie den Relativwinkel zur Prismenhalterung in dieser Fernrohr-</t>
  </si>
  <si>
    <t>position ab.</t>
  </si>
  <si>
    <t>d</t>
  </si>
  <si>
    <t>Nullwinkel: 69</t>
  </si>
  <si>
    <t>Links prismawinkel: 9</t>
  </si>
  <si>
    <t>Links gesamt:</t>
  </si>
  <si>
    <t>Rechts prismawinkel:129</t>
  </si>
  <si>
    <t>Rechts gesamt</t>
  </si>
  <si>
    <t>Bestimmung Winkel Minimale Ablenkung:</t>
  </si>
  <si>
    <t>HG Lampe</t>
  </si>
  <si>
    <t>Orange</t>
  </si>
  <si>
    <t>Grün</t>
  </si>
  <si>
    <t>Blau</t>
  </si>
  <si>
    <t>Ablenkwinkel</t>
  </si>
  <si>
    <t>Nullwinkel</t>
  </si>
  <si>
    <t>Delta</t>
  </si>
  <si>
    <t>Energiesparlampe</t>
  </si>
  <si>
    <t>Rot</t>
  </si>
  <si>
    <t>0.3</t>
  </si>
  <si>
    <t>0.65</t>
  </si>
  <si>
    <t>1</t>
  </si>
  <si>
    <t>1.3</t>
  </si>
  <si>
    <t>1.7</t>
  </si>
  <si>
    <t>0.35</t>
  </si>
  <si>
    <t>0.7</t>
  </si>
  <si>
    <t>1.35</t>
  </si>
  <si>
    <t>1.65</t>
  </si>
  <si>
    <t>0.6</t>
  </si>
  <si>
    <t>1.4</t>
  </si>
  <si>
    <t>2.1</t>
  </si>
  <si>
    <t>2.7</t>
  </si>
  <si>
    <t>3.4</t>
  </si>
  <si>
    <t>2</t>
  </si>
  <si>
    <t>2.6</t>
  </si>
  <si>
    <t>3.3</t>
  </si>
  <si>
    <t>0.4</t>
  </si>
  <si>
    <t>1.9</t>
  </si>
  <si>
    <t>2.4</t>
  </si>
  <si>
    <t>0.9</t>
  </si>
  <si>
    <t>3</t>
  </si>
  <si>
    <t>4</t>
  </si>
  <si>
    <t>5</t>
  </si>
  <si>
    <t>-1</t>
  </si>
  <si>
    <t>-2</t>
  </si>
  <si>
    <t>-3</t>
  </si>
  <si>
    <t>-4</t>
  </si>
  <si>
    <t>-5</t>
  </si>
  <si>
    <t>Alle Winkel +/-1 0,1 Grad</t>
  </si>
  <si>
    <t>Orange 17</t>
  </si>
  <si>
    <t>Grün 17</t>
  </si>
  <si>
    <t>Blau 17</t>
  </si>
  <si>
    <t>Orange 28,8</t>
  </si>
  <si>
    <t>Grün 28,8</t>
  </si>
  <si>
    <t>Blau 28,8</t>
  </si>
  <si>
    <t>Orange 71,3</t>
  </si>
  <si>
    <t>Grün 71,3</t>
  </si>
  <si>
    <t>Blau 71,3</t>
  </si>
  <si>
    <t>Messungenauigkeit Abstand 0.Maximum-Ordnung x.Ordnung: +/- 0,5mm</t>
  </si>
  <si>
    <t>Messungenauigkeit Abstand Schirm-Gitter: +/- 1mm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</si>
</sst>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Helvetica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56E5-74CB-5B41-806B-58DD78135DA3}">
  <dimension ref="A1:G11"/>
  <sheetViews>
    <sheetView zoomScale="142" zoomScaleNormal="142" workbookViewId="0">
      <selection activeCell="D17" sqref="D17"/>
    </sheetView>
  </sheetViews>
  <sheetFormatPr baseColWidth="10" defaultRowHeight="16" x14ac:dyDescent="0.2"/>
  <sheetData>
    <row r="1" spans="1:7" x14ac:dyDescent="0.2">
      <c r="A1" t="s">
        <v>0</v>
      </c>
      <c r="B1">
        <v>80</v>
      </c>
      <c r="C1">
        <v>120</v>
      </c>
      <c r="D1">
        <v>160</v>
      </c>
      <c r="G1" t="s">
        <v>1</v>
      </c>
    </row>
    <row r="2" spans="1:7" x14ac:dyDescent="0.2">
      <c r="A2" t="s">
        <v>24</v>
      </c>
      <c r="B2" t="s">
        <v>22</v>
      </c>
      <c r="C2" t="s">
        <v>39</v>
      </c>
      <c r="D2" t="s">
        <v>31</v>
      </c>
      <c r="G2" t="s">
        <v>2</v>
      </c>
    </row>
    <row r="3" spans="1:7" x14ac:dyDescent="0.2">
      <c r="A3" t="s">
        <v>36</v>
      </c>
      <c r="B3" t="s">
        <v>23</v>
      </c>
      <c r="C3" t="s">
        <v>24</v>
      </c>
      <c r="D3" t="s">
        <v>32</v>
      </c>
    </row>
    <row r="4" spans="1:7" x14ac:dyDescent="0.2">
      <c r="A4" t="s">
        <v>43</v>
      </c>
      <c r="B4" t="s">
        <v>24</v>
      </c>
      <c r="C4" t="s">
        <v>32</v>
      </c>
      <c r="D4" t="s">
        <v>33</v>
      </c>
    </row>
    <row r="5" spans="1:7" x14ac:dyDescent="0.2">
      <c r="A5" t="s">
        <v>44</v>
      </c>
      <c r="B5" t="s">
        <v>25</v>
      </c>
      <c r="C5" t="s">
        <v>40</v>
      </c>
      <c r="D5" t="s">
        <v>34</v>
      </c>
    </row>
    <row r="6" spans="1:7" x14ac:dyDescent="0.2">
      <c r="A6" t="s">
        <v>45</v>
      </c>
      <c r="B6" t="s">
        <v>26</v>
      </c>
      <c r="C6" t="s">
        <v>41</v>
      </c>
      <c r="D6" t="s">
        <v>35</v>
      </c>
    </row>
    <row r="7" spans="1:7" x14ac:dyDescent="0.2">
      <c r="A7" t="s">
        <v>46</v>
      </c>
      <c r="B7" t="s">
        <v>27</v>
      </c>
      <c r="C7" t="s">
        <v>39</v>
      </c>
      <c r="D7" t="s">
        <v>31</v>
      </c>
    </row>
    <row r="8" spans="1:7" x14ac:dyDescent="0.2">
      <c r="A8" t="s">
        <v>47</v>
      </c>
      <c r="B8" t="s">
        <v>28</v>
      </c>
      <c r="C8" t="s">
        <v>42</v>
      </c>
      <c r="D8" t="s">
        <v>25</v>
      </c>
    </row>
    <row r="9" spans="1:7" x14ac:dyDescent="0.2">
      <c r="A9" t="s">
        <v>48</v>
      </c>
      <c r="B9" t="s">
        <v>24</v>
      </c>
      <c r="C9" t="s">
        <v>32</v>
      </c>
      <c r="D9" t="s">
        <v>36</v>
      </c>
    </row>
    <row r="10" spans="1:7" x14ac:dyDescent="0.2">
      <c r="A10" t="s">
        <v>49</v>
      </c>
      <c r="B10" t="s">
        <v>29</v>
      </c>
      <c r="C10" t="s">
        <v>40</v>
      </c>
      <c r="D10" t="s">
        <v>37</v>
      </c>
    </row>
    <row r="11" spans="1:7" x14ac:dyDescent="0.2">
      <c r="A11" t="s">
        <v>50</v>
      </c>
      <c r="B11" t="s">
        <v>30</v>
      </c>
      <c r="C11" t="s">
        <v>41</v>
      </c>
      <c r="D1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153C-5525-BC4E-96F9-B351ACE3A824}">
  <dimension ref="A1:J14"/>
  <sheetViews>
    <sheetView zoomScale="150" workbookViewId="0">
      <selection activeCell="C20" sqref="C20"/>
    </sheetView>
  </sheetViews>
  <sheetFormatPr baseColWidth="10" defaultRowHeight="16" x14ac:dyDescent="0.2"/>
  <cols>
    <col min="2" max="2" width="10.83203125" customWidth="1"/>
    <col min="3" max="3" width="15.5" customWidth="1"/>
    <col min="4" max="4" width="10.83203125" customWidth="1"/>
  </cols>
  <sheetData>
    <row r="1" spans="1:10" x14ac:dyDescent="0.2">
      <c r="A1" t="s">
        <v>0</v>
      </c>
      <c r="B1" t="s">
        <v>52</v>
      </c>
      <c r="C1" t="s">
        <v>55</v>
      </c>
      <c r="D1" t="s">
        <v>58</v>
      </c>
      <c r="E1" t="s">
        <v>53</v>
      </c>
      <c r="F1" t="s">
        <v>56</v>
      </c>
      <c r="G1" t="s">
        <v>59</v>
      </c>
      <c r="H1" t="s">
        <v>54</v>
      </c>
      <c r="I1" t="s">
        <v>57</v>
      </c>
      <c r="J1" t="s">
        <v>60</v>
      </c>
    </row>
    <row r="2" spans="1:10" x14ac:dyDescent="0.2">
      <c r="A2">
        <v>5</v>
      </c>
      <c r="B2">
        <v>5</v>
      </c>
      <c r="C2">
        <v>8.6</v>
      </c>
      <c r="D2">
        <v>21.4</v>
      </c>
      <c r="E2">
        <v>4.7</v>
      </c>
      <c r="F2">
        <v>8.1</v>
      </c>
      <c r="G2">
        <v>20.2</v>
      </c>
      <c r="H2">
        <v>3.5</v>
      </c>
      <c r="I2">
        <v>6.2</v>
      </c>
      <c r="J2">
        <v>15.9</v>
      </c>
    </row>
    <row r="3" spans="1:10" x14ac:dyDescent="0.2">
      <c r="A3">
        <v>4</v>
      </c>
      <c r="B3">
        <v>4</v>
      </c>
      <c r="C3">
        <v>6.8</v>
      </c>
      <c r="D3">
        <v>16.8</v>
      </c>
      <c r="E3">
        <v>3.7</v>
      </c>
      <c r="F3">
        <v>6.4</v>
      </c>
      <c r="G3">
        <v>15.9</v>
      </c>
      <c r="H3">
        <v>2.8</v>
      </c>
      <c r="I3">
        <v>4.9000000000000004</v>
      </c>
      <c r="J3">
        <v>12.6</v>
      </c>
    </row>
    <row r="4" spans="1:10" x14ac:dyDescent="0.2">
      <c r="A4">
        <v>3</v>
      </c>
      <c r="B4">
        <v>2.9</v>
      </c>
      <c r="C4">
        <v>5</v>
      </c>
      <c r="D4">
        <v>12.5</v>
      </c>
      <c r="E4">
        <v>2.7</v>
      </c>
      <c r="F4">
        <v>4.7</v>
      </c>
      <c r="G4">
        <v>11.8</v>
      </c>
      <c r="H4">
        <v>2.2000000000000002</v>
      </c>
      <c r="I4">
        <v>3.7</v>
      </c>
      <c r="J4">
        <v>9.4</v>
      </c>
    </row>
    <row r="5" spans="1:10" x14ac:dyDescent="0.2">
      <c r="A5">
        <v>2</v>
      </c>
      <c r="B5">
        <v>2</v>
      </c>
      <c r="C5">
        <v>3.4</v>
      </c>
      <c r="D5">
        <v>8.3000000000000007</v>
      </c>
      <c r="E5">
        <v>1.8</v>
      </c>
      <c r="F5">
        <v>3.1</v>
      </c>
      <c r="G5">
        <v>7.8</v>
      </c>
      <c r="H5">
        <v>1.3</v>
      </c>
      <c r="I5">
        <v>2.6</v>
      </c>
      <c r="J5">
        <v>6.3</v>
      </c>
    </row>
    <row r="6" spans="1:10" x14ac:dyDescent="0.2">
      <c r="A6">
        <v>1</v>
      </c>
      <c r="B6">
        <v>1</v>
      </c>
      <c r="C6">
        <v>1.7</v>
      </c>
      <c r="D6">
        <v>4.0999999999999996</v>
      </c>
      <c r="E6">
        <v>0.8</v>
      </c>
      <c r="F6">
        <v>1.5</v>
      </c>
      <c r="G6">
        <v>3.9</v>
      </c>
      <c r="H6">
        <v>0.7</v>
      </c>
      <c r="I6">
        <v>1.3</v>
      </c>
      <c r="J6">
        <v>3.1</v>
      </c>
    </row>
    <row r="7" spans="1:10" x14ac:dyDescent="0.2">
      <c r="A7">
        <v>-1</v>
      </c>
      <c r="B7">
        <v>1</v>
      </c>
      <c r="C7">
        <v>1.7</v>
      </c>
      <c r="D7">
        <v>4.0999999999999996</v>
      </c>
      <c r="E7">
        <v>0.9</v>
      </c>
      <c r="F7">
        <v>1.5</v>
      </c>
      <c r="G7">
        <v>3.9</v>
      </c>
      <c r="H7">
        <v>0.7</v>
      </c>
      <c r="I7">
        <v>1.2</v>
      </c>
      <c r="J7">
        <v>3.1</v>
      </c>
    </row>
    <row r="8" spans="1:10" x14ac:dyDescent="0.2">
      <c r="A8">
        <v>-2</v>
      </c>
      <c r="B8">
        <v>1.9</v>
      </c>
      <c r="C8">
        <v>3.4</v>
      </c>
      <c r="D8">
        <v>8.3000000000000007</v>
      </c>
      <c r="E8">
        <v>1.8</v>
      </c>
      <c r="F8">
        <v>3.2</v>
      </c>
      <c r="G8">
        <v>7.8</v>
      </c>
      <c r="H8">
        <v>1.5</v>
      </c>
      <c r="I8">
        <v>2.4</v>
      </c>
      <c r="J8">
        <v>6.3</v>
      </c>
    </row>
    <row r="9" spans="1:10" x14ac:dyDescent="0.2">
      <c r="A9">
        <v>-3</v>
      </c>
      <c r="B9">
        <v>2.9</v>
      </c>
      <c r="C9">
        <v>5.0999999999999996</v>
      </c>
      <c r="D9">
        <v>12.5</v>
      </c>
      <c r="E9">
        <v>2.7</v>
      </c>
      <c r="F9">
        <v>4.7</v>
      </c>
      <c r="G9">
        <v>11.8</v>
      </c>
      <c r="H9">
        <v>2.2999999999999998</v>
      </c>
      <c r="I9">
        <v>3.7</v>
      </c>
      <c r="J9">
        <v>9.4</v>
      </c>
    </row>
    <row r="10" spans="1:10" x14ac:dyDescent="0.2">
      <c r="A10">
        <v>-4</v>
      </c>
      <c r="B10">
        <v>4</v>
      </c>
      <c r="C10">
        <v>6.9</v>
      </c>
      <c r="D10">
        <v>16.7</v>
      </c>
      <c r="E10">
        <v>3.7</v>
      </c>
      <c r="F10">
        <v>6.4</v>
      </c>
      <c r="G10">
        <v>15.8</v>
      </c>
      <c r="H10">
        <v>2.9</v>
      </c>
      <c r="I10">
        <v>4.9000000000000004</v>
      </c>
      <c r="J10">
        <v>12.6</v>
      </c>
    </row>
    <row r="11" spans="1:10" x14ac:dyDescent="0.2">
      <c r="A11">
        <v>-5</v>
      </c>
      <c r="B11">
        <v>5</v>
      </c>
      <c r="C11">
        <v>8.6</v>
      </c>
      <c r="D11">
        <v>21.4</v>
      </c>
      <c r="E11">
        <v>4.7</v>
      </c>
      <c r="F11">
        <v>8</v>
      </c>
      <c r="G11">
        <v>20.2</v>
      </c>
      <c r="H11">
        <v>3.5</v>
      </c>
      <c r="I11">
        <v>6.2</v>
      </c>
      <c r="J11">
        <v>15.9</v>
      </c>
    </row>
    <row r="13" spans="1:10" x14ac:dyDescent="0.2">
      <c r="A13" t="s">
        <v>62</v>
      </c>
    </row>
    <row r="14" spans="1:10" x14ac:dyDescent="0.2">
      <c r="A1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7B0E-417A-0043-8D98-47D1B508E960}">
  <dimension ref="A1:F20"/>
  <sheetViews>
    <sheetView tabSelected="1" zoomScale="150" workbookViewId="0">
      <selection activeCell="A17" sqref="A17"/>
    </sheetView>
  </sheetViews>
  <sheetFormatPr baseColWidth="10" defaultRowHeight="16" x14ac:dyDescent="0.2"/>
  <cols>
    <col min="1" max="1" width="55.6640625" customWidth="1"/>
  </cols>
  <sheetData>
    <row r="1" spans="1:6" x14ac:dyDescent="0.2">
      <c r="A1" s="1" t="s">
        <v>3</v>
      </c>
      <c r="B1" t="s">
        <v>6</v>
      </c>
      <c r="C1" t="s">
        <v>51</v>
      </c>
    </row>
    <row r="2" spans="1:6" x14ac:dyDescent="0.2">
      <c r="A2" s="1" t="s">
        <v>4</v>
      </c>
      <c r="B2" t="s">
        <v>6</v>
      </c>
    </row>
    <row r="3" spans="1:6" x14ac:dyDescent="0.2">
      <c r="A3" s="1" t="s">
        <v>5</v>
      </c>
    </row>
    <row r="4" spans="1:6" x14ac:dyDescent="0.2">
      <c r="A4" s="1" t="s">
        <v>7</v>
      </c>
    </row>
    <row r="5" spans="1:6" x14ac:dyDescent="0.2">
      <c r="A5" s="1" t="s">
        <v>8</v>
      </c>
      <c r="B5" t="s">
        <v>9</v>
      </c>
      <c r="C5">
        <v>60</v>
      </c>
    </row>
    <row r="6" spans="1:6" x14ac:dyDescent="0.2">
      <c r="A6" s="1" t="s">
        <v>10</v>
      </c>
      <c r="B6" t="s">
        <v>11</v>
      </c>
      <c r="C6">
        <v>60</v>
      </c>
    </row>
    <row r="10" spans="1:6" x14ac:dyDescent="0.2">
      <c r="A10" t="s">
        <v>12</v>
      </c>
      <c r="B10" t="s">
        <v>13</v>
      </c>
      <c r="D10" t="s">
        <v>17</v>
      </c>
      <c r="E10" t="s">
        <v>18</v>
      </c>
      <c r="F10" t="s">
        <v>19</v>
      </c>
    </row>
    <row r="11" spans="1:6" x14ac:dyDescent="0.2">
      <c r="C11" t="s">
        <v>14</v>
      </c>
      <c r="D11">
        <v>3.9</v>
      </c>
      <c r="E11">
        <f>315.5-360</f>
        <v>-44.5</v>
      </c>
      <c r="F11">
        <f>D11-E11</f>
        <v>48.4</v>
      </c>
    </row>
    <row r="12" spans="1:6" x14ac:dyDescent="0.2">
      <c r="C12" t="s">
        <v>15</v>
      </c>
      <c r="D12">
        <v>4.2</v>
      </c>
      <c r="E12">
        <f>315.5-360</f>
        <v>-44.5</v>
      </c>
      <c r="F12">
        <f t="shared" ref="F12:F20" si="0">D12-E12</f>
        <v>48.7</v>
      </c>
    </row>
    <row r="13" spans="1:6" x14ac:dyDescent="0.2">
      <c r="C13" t="s">
        <v>16</v>
      </c>
      <c r="D13">
        <v>6</v>
      </c>
      <c r="E13">
        <f>315.5-360</f>
        <v>-44.5</v>
      </c>
      <c r="F13">
        <f t="shared" si="0"/>
        <v>50.5</v>
      </c>
    </row>
    <row r="16" spans="1:6" x14ac:dyDescent="0.2">
      <c r="B16" t="s">
        <v>20</v>
      </c>
    </row>
    <row r="17" spans="3:6" x14ac:dyDescent="0.2">
      <c r="C17" t="s">
        <v>21</v>
      </c>
      <c r="D17">
        <v>1.7</v>
      </c>
      <c r="E17">
        <f>313.7-360</f>
        <v>-46.300000000000011</v>
      </c>
      <c r="F17">
        <f t="shared" si="0"/>
        <v>48.000000000000014</v>
      </c>
    </row>
    <row r="18" spans="3:6" x14ac:dyDescent="0.2">
      <c r="C18" s="2" t="s">
        <v>14</v>
      </c>
      <c r="D18">
        <v>1.9</v>
      </c>
      <c r="E18">
        <f>313.7-360</f>
        <v>-46.300000000000011</v>
      </c>
      <c r="F18">
        <f t="shared" si="0"/>
        <v>48.20000000000001</v>
      </c>
    </row>
    <row r="19" spans="3:6" x14ac:dyDescent="0.2">
      <c r="C19" s="2" t="s">
        <v>15</v>
      </c>
      <c r="D19">
        <v>2.2000000000000002</v>
      </c>
      <c r="E19">
        <f>313.7-360</f>
        <v>-46.300000000000011</v>
      </c>
      <c r="F19">
        <f t="shared" si="0"/>
        <v>48.500000000000014</v>
      </c>
    </row>
    <row r="20" spans="3:6" x14ac:dyDescent="0.2">
      <c r="C20" s="2" t="s">
        <v>16</v>
      </c>
      <c r="D20">
        <v>3.4</v>
      </c>
      <c r="E20">
        <f>313.7-360</f>
        <v>-46.300000000000011</v>
      </c>
      <c r="F20">
        <f>D20-E20</f>
        <v>49.70000000000001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Versuch 1</vt:lpstr>
      <vt:lpstr>Versuch 2</vt:lpstr>
      <vt:lpstr>Versuch3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Breuer</dc:creator>
  <cp:lastModifiedBy>Henri Breuer</cp:lastModifiedBy>
  <dcterms:created xsi:type="dcterms:W3CDTF">2026-03-02T08:10:28Z</dcterms:created>
  <dcterms:modified xsi:type="dcterms:W3CDTF">2026-03-02T16:36:30Z</dcterms:modified>
</cp:coreProperties>
</file>