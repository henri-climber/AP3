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nribreuer/Programmieren/Python/AP3/BUB/data/"/>
    </mc:Choice>
  </mc:AlternateContent>
  <xr:revisionPtr revIDLastSave="0" documentId="13_ncr:1_{6B76920F-FD3E-7646-BCC6-9C4CCBC7FA65}" xr6:coauthVersionLast="47" xr6:coauthVersionMax="47" xr10:uidLastSave="{00000000-0000-0000-0000-000000000000}"/>
  <bookViews>
    <workbookView xWindow="-20" yWindow="660" windowWidth="30240" windowHeight="17380" activeTab="2" xr2:uid="{1A2D1E92-35F4-6F47-B68E-970C94C6DF07}"/>
  </bookViews>
  <sheets>
    <sheet name="Versuch 1" sheetId="2" r:id="rId1"/>
    <sheet name="Versuch3" sheetId="3" r:id="rId2"/>
    <sheet name="Versuch 2" sheetId="4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4" l="1"/>
  <c r="C1" i="4"/>
  <c r="B1" i="4"/>
  <c r="E20" i="3"/>
  <c r="F20" i="3" s="1"/>
  <c r="E19" i="3"/>
  <c r="F19" i="3" s="1"/>
  <c r="E18" i="3"/>
  <c r="E17" i="3"/>
  <c r="F17" i="3"/>
  <c r="F18" i="3"/>
  <c r="E13" i="3"/>
  <c r="F13" i="3" s="1"/>
  <c r="E12" i="3"/>
  <c r="F12" i="3" s="1"/>
  <c r="E11" i="3"/>
  <c r="F11" i="3"/>
</calcChain>
</file>

<file path=xl/sharedStrings.xml><?xml version="1.0" encoding="utf-8"?>
<sst xmlns="http://schemas.openxmlformats.org/spreadsheetml/2006/main" count="27" uniqueCount="23">
  <si>
    <t>Ordnung</t>
  </si>
  <si>
    <t>Messungenauigkeit abstand +/-1mm</t>
  </si>
  <si>
    <t>Messungenauigkeit ordnung +/-0,5mm</t>
  </si>
  <si>
    <t>Richten Sie nun das Fernrohr mit Hilfe des eingebauten Fadenkreuzes exakt auf die Reflexion des</t>
  </si>
  <si>
    <t>Lichts aus dem Spalt aus und lesen Sie den Relativwinkel zur Prismenhalterung in dieser Fernrohr-</t>
  </si>
  <si>
    <t>position ab.</t>
  </si>
  <si>
    <t>d</t>
  </si>
  <si>
    <t>Nullwinkel: 69</t>
  </si>
  <si>
    <t>Links prismawinkel: 9</t>
  </si>
  <si>
    <t>Links gesamt:</t>
  </si>
  <si>
    <t>Rechts prismawinkel:129</t>
  </si>
  <si>
    <t>Rechts gesamt</t>
  </si>
  <si>
    <t>Bestimmung Winkel Minimale Ablenkung:</t>
  </si>
  <si>
    <t>HG Lampe</t>
  </si>
  <si>
    <t>Orange</t>
  </si>
  <si>
    <t>Grün</t>
  </si>
  <si>
    <t>Blau</t>
  </si>
  <si>
    <t>Ablenkwinkel</t>
  </si>
  <si>
    <t>Nullwinkel</t>
  </si>
  <si>
    <t>Delta</t>
  </si>
  <si>
    <t>Energiesparlampe</t>
  </si>
  <si>
    <t>Rot</t>
  </si>
  <si>
    <t>Gitter: 17,7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</si>
</sst>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1"/>
      <color rgb="FF000000"/>
      <name val="Helvetica"/>
      <family val="2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356E5-74CB-5B41-806B-58DD78135DA3}">
  <dimension ref="A1:G11"/>
  <sheetViews>
    <sheetView zoomScale="142" workbookViewId="0">
      <selection activeCell="D13" sqref="D13"/>
    </sheetView>
  </sheetViews>
  <sheetFormatPr baseColWidth="10" defaultRowHeight="16" x14ac:dyDescent="0.2"/>
  <sheetData>
    <row r="1" spans="1:7" x14ac:dyDescent="0.2">
      <c r="A1" t="s">
        <v>0</v>
      </c>
      <c r="B1">
        <v>80</v>
      </c>
      <c r="C1">
        <v>120</v>
      </c>
      <c r="D1">
        <v>160</v>
      </c>
      <c r="G1" t="s">
        <v>1</v>
      </c>
    </row>
    <row r="2" spans="1:7" x14ac:dyDescent="0.2">
      <c r="A2">
        <v>5</v>
      </c>
      <c r="B2">
        <v>0.3</v>
      </c>
      <c r="C2">
        <v>0.6</v>
      </c>
      <c r="D2">
        <v>0.4</v>
      </c>
      <c r="G2" t="s">
        <v>2</v>
      </c>
    </row>
    <row r="3" spans="1:7" x14ac:dyDescent="0.2">
      <c r="A3">
        <v>4</v>
      </c>
      <c r="B3">
        <v>0.65</v>
      </c>
      <c r="C3">
        <v>1.4</v>
      </c>
      <c r="D3">
        <v>1</v>
      </c>
    </row>
    <row r="4" spans="1:7" x14ac:dyDescent="0.2">
      <c r="A4">
        <v>3</v>
      </c>
      <c r="B4">
        <v>1</v>
      </c>
      <c r="C4">
        <v>2.1</v>
      </c>
      <c r="D4">
        <v>1.4</v>
      </c>
    </row>
    <row r="5" spans="1:7" x14ac:dyDescent="0.2">
      <c r="A5">
        <v>2</v>
      </c>
      <c r="B5">
        <v>1.3</v>
      </c>
      <c r="C5">
        <v>2.7</v>
      </c>
      <c r="D5">
        <v>1.9</v>
      </c>
    </row>
    <row r="6" spans="1:7" x14ac:dyDescent="0.2">
      <c r="A6">
        <v>1</v>
      </c>
      <c r="B6">
        <v>1.7</v>
      </c>
      <c r="C6">
        <v>3.4</v>
      </c>
      <c r="D6">
        <v>2.4</v>
      </c>
    </row>
    <row r="7" spans="1:7" x14ac:dyDescent="0.2">
      <c r="A7">
        <v>-1</v>
      </c>
      <c r="B7">
        <v>0.35</v>
      </c>
      <c r="C7">
        <v>0.6</v>
      </c>
      <c r="D7">
        <v>0.4</v>
      </c>
    </row>
    <row r="8" spans="1:7" x14ac:dyDescent="0.2">
      <c r="A8">
        <v>-2</v>
      </c>
      <c r="B8">
        <v>0.7</v>
      </c>
      <c r="C8">
        <v>1.3</v>
      </c>
      <c r="D8">
        <v>0.9</v>
      </c>
    </row>
    <row r="9" spans="1:7" x14ac:dyDescent="0.2">
      <c r="A9">
        <v>-3</v>
      </c>
      <c r="B9">
        <v>1</v>
      </c>
      <c r="C9">
        <v>2</v>
      </c>
      <c r="D9">
        <v>1.4</v>
      </c>
    </row>
    <row r="10" spans="1:7" x14ac:dyDescent="0.2">
      <c r="A10">
        <v>-4</v>
      </c>
      <c r="B10">
        <v>1.35</v>
      </c>
      <c r="C10">
        <v>2.6</v>
      </c>
      <c r="D10">
        <v>1.9</v>
      </c>
    </row>
    <row r="11" spans="1:7" x14ac:dyDescent="0.2">
      <c r="A11">
        <v>-5</v>
      </c>
      <c r="B11">
        <v>1.65</v>
      </c>
      <c r="C11">
        <v>3.3</v>
      </c>
      <c r="D11">
        <v>2.4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7B0E-417A-0043-8D98-47D1B508E960}">
  <dimension ref="A1:F20"/>
  <sheetViews>
    <sheetView topLeftCell="A3" zoomScale="150" workbookViewId="0">
      <selection activeCell="C23" sqref="C23"/>
    </sheetView>
  </sheetViews>
  <sheetFormatPr baseColWidth="10" defaultRowHeight="16" x14ac:dyDescent="0.2"/>
  <cols>
    <col min="1" max="1" width="55.6640625" customWidth="1"/>
  </cols>
  <sheetData>
    <row r="1" spans="1:6" x14ac:dyDescent="0.2">
      <c r="A1" s="1" t="s">
        <v>3</v>
      </c>
      <c r="B1" t="s">
        <v>6</v>
      </c>
    </row>
    <row r="2" spans="1:6" x14ac:dyDescent="0.2">
      <c r="A2" s="1" t="s">
        <v>4</v>
      </c>
      <c r="B2" t="s">
        <v>6</v>
      </c>
    </row>
    <row r="3" spans="1:6" x14ac:dyDescent="0.2">
      <c r="A3" s="1" t="s">
        <v>5</v>
      </c>
    </row>
    <row r="4" spans="1:6" x14ac:dyDescent="0.2">
      <c r="A4" s="1" t="s">
        <v>7</v>
      </c>
    </row>
    <row r="5" spans="1:6" x14ac:dyDescent="0.2">
      <c r="A5" s="1" t="s">
        <v>8</v>
      </c>
      <c r="B5" t="s">
        <v>9</v>
      </c>
      <c r="C5">
        <v>60</v>
      </c>
    </row>
    <row r="6" spans="1:6" x14ac:dyDescent="0.2">
      <c r="A6" s="1" t="s">
        <v>10</v>
      </c>
      <c r="B6" t="s">
        <v>11</v>
      </c>
      <c r="C6">
        <v>60</v>
      </c>
    </row>
    <row r="10" spans="1:6" x14ac:dyDescent="0.2">
      <c r="A10" t="s">
        <v>12</v>
      </c>
      <c r="B10" t="s">
        <v>13</v>
      </c>
      <c r="D10" t="s">
        <v>17</v>
      </c>
      <c r="E10" t="s">
        <v>18</v>
      </c>
      <c r="F10" t="s">
        <v>19</v>
      </c>
    </row>
    <row r="11" spans="1:6" x14ac:dyDescent="0.2">
      <c r="C11" t="s">
        <v>14</v>
      </c>
      <c r="D11">
        <v>3.9</v>
      </c>
      <c r="E11">
        <f>315.5-360</f>
        <v>-44.5</v>
      </c>
      <c r="F11">
        <f>D11-E11</f>
        <v>48.4</v>
      </c>
    </row>
    <row r="12" spans="1:6" x14ac:dyDescent="0.2">
      <c r="C12" t="s">
        <v>15</v>
      </c>
      <c r="D12">
        <v>4.2</v>
      </c>
      <c r="E12">
        <f>315.5-360</f>
        <v>-44.5</v>
      </c>
      <c r="F12">
        <f t="shared" ref="F12:F20" si="0">D12-E12</f>
        <v>48.7</v>
      </c>
    </row>
    <row r="13" spans="1:6" x14ac:dyDescent="0.2">
      <c r="C13" t="s">
        <v>16</v>
      </c>
      <c r="D13">
        <v>6</v>
      </c>
      <c r="E13">
        <f>315.5-360</f>
        <v>-44.5</v>
      </c>
      <c r="F13">
        <f t="shared" si="0"/>
        <v>50.5</v>
      </c>
    </row>
    <row r="16" spans="1:6" x14ac:dyDescent="0.2">
      <c r="B16" t="s">
        <v>20</v>
      </c>
    </row>
    <row r="17" spans="3:6" x14ac:dyDescent="0.2">
      <c r="C17" t="s">
        <v>21</v>
      </c>
      <c r="D17">
        <v>1.7</v>
      </c>
      <c r="E17">
        <f>313.7-360</f>
        <v>-46.300000000000011</v>
      </c>
      <c r="F17">
        <f t="shared" si="0"/>
        <v>48.000000000000014</v>
      </c>
    </row>
    <row r="18" spans="3:6" x14ac:dyDescent="0.2">
      <c r="C18" s="2" t="s">
        <v>14</v>
      </c>
      <c r="D18">
        <v>1.9</v>
      </c>
      <c r="E18">
        <f>313.7-360</f>
        <v>-46.300000000000011</v>
      </c>
      <c r="F18">
        <f t="shared" si="0"/>
        <v>48.20000000000001</v>
      </c>
    </row>
    <row r="19" spans="3:6" x14ac:dyDescent="0.2">
      <c r="C19" s="2" t="s">
        <v>15</v>
      </c>
      <c r="D19">
        <v>2.2000000000000002</v>
      </c>
      <c r="E19">
        <f>313.7-360</f>
        <v>-46.300000000000011</v>
      </c>
      <c r="F19">
        <f t="shared" si="0"/>
        <v>48.500000000000014</v>
      </c>
    </row>
    <row r="20" spans="3:6" x14ac:dyDescent="0.2">
      <c r="C20" s="2" t="s">
        <v>16</v>
      </c>
      <c r="D20">
        <v>3</v>
      </c>
      <c r="E20">
        <f>313.7-360</f>
        <v>-46.300000000000011</v>
      </c>
      <c r="F20">
        <f t="shared" si="0"/>
        <v>49.300000000000011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F153C-5525-BC4E-96F9-B351ACE3A824}">
  <dimension ref="A1:D13"/>
  <sheetViews>
    <sheetView tabSelected="1" zoomScale="176" workbookViewId="0">
      <selection activeCell="D20" sqref="D20"/>
    </sheetView>
  </sheetViews>
  <sheetFormatPr baseColWidth="10" defaultRowHeight="16" x14ac:dyDescent="0.2"/>
  <sheetData>
    <row r="1" spans="1:4" x14ac:dyDescent="0.2">
      <c r="B1">
        <f>33.2-17.7</f>
        <v>15.500000000000004</v>
      </c>
      <c r="C1">
        <f>45-17.7</f>
        <v>27.3</v>
      </c>
      <c r="D1">
        <f>87.5-17.7</f>
        <v>69.8</v>
      </c>
    </row>
    <row r="2" spans="1:4" x14ac:dyDescent="0.2">
      <c r="A2">
        <v>5</v>
      </c>
    </row>
    <row r="3" spans="1:4" x14ac:dyDescent="0.2">
      <c r="A3">
        <v>4</v>
      </c>
    </row>
    <row r="4" spans="1:4" x14ac:dyDescent="0.2">
      <c r="A4">
        <v>3</v>
      </c>
    </row>
    <row r="5" spans="1:4" x14ac:dyDescent="0.2">
      <c r="A5">
        <v>2</v>
      </c>
    </row>
    <row r="6" spans="1:4" x14ac:dyDescent="0.2">
      <c r="A6">
        <v>1</v>
      </c>
    </row>
    <row r="7" spans="1:4" x14ac:dyDescent="0.2">
      <c r="A7">
        <v>-1</v>
      </c>
    </row>
    <row r="8" spans="1:4" x14ac:dyDescent="0.2">
      <c r="A8">
        <v>-2</v>
      </c>
    </row>
    <row r="9" spans="1:4" x14ac:dyDescent="0.2">
      <c r="A9">
        <v>-3</v>
      </c>
    </row>
    <row r="10" spans="1:4" x14ac:dyDescent="0.2">
      <c r="A10">
        <v>-4</v>
      </c>
    </row>
    <row r="11" spans="1:4" x14ac:dyDescent="0.2">
      <c r="A11">
        <v>-5</v>
      </c>
    </row>
    <row r="13" spans="1:4" x14ac:dyDescent="0.2">
      <c r="A13" t="s">
        <v>22</v>
      </c>
      <c r="B13">
        <v>33.200000000000003</v>
      </c>
      <c r="C13">
        <v>45</v>
      </c>
      <c r="D13">
        <v>87.5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Versuch 1</vt:lpstr>
      <vt:lpstr>Versuch3</vt:lpstr>
      <vt:lpstr>Versuch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 Breuer</dc:creator>
  <cp:lastModifiedBy>Henri Breuer</cp:lastModifiedBy>
  <dcterms:created xsi:type="dcterms:W3CDTF">2026-03-02T08:10:28Z</dcterms:created>
  <dcterms:modified xsi:type="dcterms:W3CDTF">2026-03-02T11:28:26Z</dcterms:modified>
</cp:coreProperties>
</file>